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Daily Log" sheetId="1" r:id="rId1"/>
  </sheets>
  <definedNames>
    <definedName name="_xlnm._FilterDatabase" localSheetId="0" hidden="1">'Daily Log'!$A$7:$N$52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<sst xmlns="http://schemas.openxmlformats.org/spreadsheetml/2006/main" count="204" uniqueCount="76">
  <si>
    <t>My Data, My Code — Daily Log</t>
  </si>
  <si>
    <t>Name:</t>
  </si>
  <si>
    <t>Abhishek kumar</t>
  </si>
  <si>
    <t>Registration:</t>
  </si>
  <si>
    <t>12617423</t>
  </si>
  <si>
    <t>Course / Semester:</t>
  </si>
  <si>
    <t>MCA</t>
  </si>
  <si>
    <t>Month:</t>
  </si>
  <si>
    <t>August-September</t>
  </si>
  <si>
    <t>All durations in MINUTES. Yellow cells = enter your data.</t>
  </si>
  <si>
    <t>Date</t>
  </si>
  <si>
    <t>Sleep
(min)</t>
  </si>
  <si>
    <t>Fitness
(min)</t>
  </si>
  <si>
    <t>Study
(min)</t>
  </si>
  <si>
    <t>Coding
(min)</t>
  </si>
  <si>
    <t>Class
(min)</t>
  </si>
  <si>
    <t>Classes
Attended</t>
  </si>
  <si>
    <t>Other
Activities
(min)</t>
  </si>
  <si>
    <t>Total Tracked
(min)</t>
  </si>
  <si>
    <t>Free/Unaccounted
(min)</t>
  </si>
  <si>
    <t>Day's
Feeling</t>
  </si>
  <si>
    <t>Satisfaction
Level</t>
  </si>
  <si>
    <t>Energy
Level</t>
  </si>
  <si>
    <t>Notes</t>
  </si>
  <si>
    <t>Good</t>
  </si>
  <si>
    <t>Satisfied</t>
  </si>
  <si>
    <t>Medium</t>
  </si>
  <si>
    <t>Good focus during evening self-study; revised Java basics</t>
  </si>
  <si>
    <t>Neutral</t>
  </si>
  <si>
    <t>Worked on C++ OOP concepts and class assignments</t>
  </si>
  <si>
    <t>High</t>
  </si>
  <si>
    <t>Attended lectures; practiced Python syntax and loops</t>
  </si>
  <si>
    <t>Self-study; revised DBMS concepts and SQL queries</t>
  </si>
  <si>
    <t>Covered DBMS normalization theory and solved questions</t>
  </si>
  <si>
    <t>Very Satisfied</t>
  </si>
  <si>
    <t>Sunday self-study; revised computer network OSI layers</t>
  </si>
  <si>
    <t>Low</t>
  </si>
  <si>
    <t>Long college day; prepared notes for communication skills</t>
  </si>
  <si>
    <t>Solved analytical skills aptitude questions and Python functions</t>
  </si>
  <si>
    <t>Practised C++ pointers and DBMS joins</t>
  </si>
  <si>
    <t>Solved LeetCode logic questions using C++ and Python</t>
  </si>
  <si>
    <t>Revised Java variables, data types and conditional statements</t>
  </si>
  <si>
    <t>Practiced Java if-else and nested if-else programs</t>
  </si>
  <si>
    <t>Sunday coding practice; completed Java beginner exercises</t>
  </si>
  <si>
    <t>Attended classes; practiced SQL SELECT, WHERE and ORDER BY</t>
  </si>
  <si>
    <t>Worked on DBMS normalization and functional dependencies</t>
  </si>
  <si>
    <t>Practiced Python lists, tuples and dictionaries</t>
  </si>
  <si>
    <t>Java practice: loops, nested loops and basic problems</t>
  </si>
  <si>
    <t>Solved aptitude questions and revised reasoning shortcuts</t>
  </si>
  <si>
    <t>Sunday self-study; revised networking TCP/IP basics</t>
  </si>
  <si>
    <t>College assignments and Java coding practice</t>
  </si>
  <si>
    <t>Practiced arrays and strings; revised C++ basics</t>
  </si>
  <si>
    <t>Worked on Python functions and problem solving</t>
  </si>
  <si>
    <t>Revised DBMS SQL queries and normalization</t>
  </si>
  <si>
    <t>Sunday revision; completed pending coding exercises</t>
  </si>
  <si>
    <t>Attended all classes; revised Java OOP concepts</t>
  </si>
  <si>
    <t>Practiced inheritance, polymorphism and encapsulation</t>
  </si>
  <si>
    <t>Solved reasoning series and coding-decoding questions</t>
  </si>
  <si>
    <t>Worked on Java programs and aptitude practice</t>
  </si>
  <si>
    <t>Sunday: revised Java and completed practice set</t>
  </si>
  <si>
    <t>Long college day; revised notes and completed assignments</t>
  </si>
  <si>
    <t>Practiced Java Scanner input and conditional programs</t>
  </si>
  <si>
    <t>Worked on nested if-else and comparison operators</t>
  </si>
  <si>
    <t>Attended lectures; practiced loops and pattern problems</t>
  </si>
  <si>
    <t>Completed Java beginner exercises and revised syntax</t>
  </si>
  <si>
    <t>Sunday self-study; practiced coding questions</t>
  </si>
  <si>
    <t>Revised DBMS joins and SQL aggregate functions</t>
  </si>
  <si>
    <t>Practiced Python functions and basic data structures</t>
  </si>
  <si>
    <t>Java practice: arrays, strings and methods</t>
  </si>
  <si>
    <t>Focused on classwork and completed coding assignments</t>
  </si>
  <si>
    <t>Revised computer networks and OSI model</t>
  </si>
  <si>
    <t>Solved aptitude and reasoning practice questions</t>
  </si>
  <si>
    <t>Sunday revision; coding practice and weekly recap</t>
  </si>
  <si>
    <t>Practiced Java conditional statements and user input</t>
  </si>
  <si>
    <t>Completed Java programs; revised loops and functions</t>
  </si>
  <si>
    <t>Prepared notes, attended classes and practiced coding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</si>
</sst>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25">
    <font>
      <sz val="11"/>
      <color theme="1"/>
      <name val="Calibri"/>
      <charset val="134"/>
      <scheme val="minor"/>
    </font>
    <font>
      <b/>
      <sz val="16"/>
      <color rgb="FF1F4E78"/>
      <name val="Calibri"/>
      <charset val="134"/>
      <scheme val="minor"/>
    </font>
    <font>
      <b/>
      <sz val="11"/>
      <name val="Calibri"/>
      <charset val="134"/>
      <scheme val="minor"/>
    </font>
    <font>
      <i/>
      <sz val="10"/>
      <color rgb="FF808080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8" fontId="5" fillId="0" borderId="0" applyFont="0" applyFill="0" applyBorder="0" applyAlignment="0" applyProtection="0">
      <alignment vertical="center"/>
    </xf>
    <xf numFmtId="179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2" xfId="0" applyFont="1" applyFill="1" applyBorder="1" applyAlignment="1">
      <alignment horizontal="center" vertical="center" wrapText="1"/>
    </xf>
    <xf numFmtId="180" fontId="0" fillId="0" borderId="2" xfId="0" applyNumberFormat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4" borderId="2" xfId="0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showGridLines="0" tabSelected="1" workbookViewId="0">
      <pane ySplit="7" topLeftCell="A50" activePane="bottomLeft" state="frozen"/>
      <selection/>
      <selection pane="bottomLeft" activeCell="A1" sqref="A1"/>
    </sheetView>
  </sheetViews>
  <sheetFormatPr defaultColWidth="9" defaultRowHeight="14.4"/>
  <cols>
    <col min="1" max="1" width="14" customWidth="1"/>
    <col min="2" max="2" width="12" customWidth="1"/>
    <col min="3" max="5" width="13" customWidth="1"/>
    <col min="6" max="6" width="12" customWidth="1"/>
    <col min="7" max="7" width="15" customWidth="1"/>
    <col min="8" max="9" width="16" customWidth="1"/>
    <col min="10" max="10" width="19" customWidth="1"/>
    <col min="11" max="11" width="15" customWidth="1"/>
    <col min="12" max="12" width="17" customWidth="1"/>
    <col min="13" max="13" width="14" customWidth="1"/>
    <col min="14" max="14" width="42" customWidth="1"/>
  </cols>
  <sheetData>
    <row r="1" ht="21" spans="1:14">
      <c r="A1" s="1" t="s">
        <v>0</v>
      </c>
    </row>
    <row r="3" spans="1:14">
      <c r="A3" s="2" t="s">
        <v>1</v>
      </c>
      <c r="B3" s="3" t="s">
        <v>2</v>
      </c>
      <c r="E3" s="2" t="s">
        <v>3</v>
      </c>
      <c r="F3" s="3" t="s">
        <v>4</v>
      </c>
    </row>
    <row r="4" spans="1:14">
      <c r="A4" s="2" t="s">
        <v>5</v>
      </c>
      <c r="B4" s="3" t="s">
        <v>6</v>
      </c>
      <c r="E4" s="2" t="s">
        <v>7</v>
      </c>
      <c r="F4" s="3" t="s">
        <v>8</v>
      </c>
    </row>
    <row r="5" spans="1:14">
      <c r="A5" s="4" t="s">
        <v>9</v>
      </c>
    </row>
    <row r="7" ht="50" customHeight="1" spans="1:14">
      <c r="A7" s="5" t="s">
        <v>10</v>
      </c>
      <c r="B7" s="5" t="s">
        <v>11</v>
      </c>
      <c r="C7" s="5" t="s">
        <v>12</v>
      </c>
      <c r="D7" s="5" t="s">
        <v>13</v>
      </c>
      <c r="E7" s="5" t="s">
        <v>14</v>
      </c>
      <c r="F7" s="5" t="s">
        <v>15</v>
      </c>
      <c r="G7" s="5" t="s">
        <v>16</v>
      </c>
      <c r="H7" s="5" t="s">
        <v>17</v>
      </c>
      <c r="I7" s="5" t="s">
        <v>18</v>
      </c>
      <c r="J7" s="5" t="s">
        <v>19</v>
      </c>
      <c r="K7" s="5" t="s">
        <v>20</v>
      </c>
      <c r="L7" s="5" t="s">
        <v>21</v>
      </c>
      <c r="M7" s="5" t="s">
        <v>22</v>
      </c>
      <c r="N7" s="5" t="s">
        <v>23</v>
      </c>
    </row>
    <row r="8" ht="38" customHeight="1" spans="1:14">
      <c r="A8" s="6">
        <v>46247</v>
      </c>
      <c r="B8" s="7">
        <v>420</v>
      </c>
      <c r="C8" s="7">
        <v>30</v>
      </c>
      <c r="D8" s="7">
        <v>180</v>
      </c>
      <c r="E8" s="7">
        <v>120</v>
      </c>
      <c r="F8" s="7">
        <v>300</v>
      </c>
      <c r="G8" s="7">
        <v>6</v>
      </c>
      <c r="H8" s="7">
        <v>45</v>
      </c>
      <c r="I8" s="8">
        <f t="shared" ref="I8:I52" si="0">SUM(B8:F8,H8)</f>
        <v>1095</v>
      </c>
      <c r="J8" s="8">
        <f t="shared" ref="J8:J52" si="1">1440-I8</f>
        <v>345</v>
      </c>
      <c r="K8" s="7" t="s">
        <v>24</v>
      </c>
      <c r="L8" s="7" t="s">
        <v>25</v>
      </c>
      <c r="M8" s="7" t="s">
        <v>26</v>
      </c>
      <c r="N8" s="9" t="s">
        <v>27</v>
      </c>
    </row>
    <row r="9" ht="38" customHeight="1" spans="1:14">
      <c r="A9" s="6">
        <v>46248</v>
      </c>
      <c r="B9" s="7">
        <v>450</v>
      </c>
      <c r="C9" s="7">
        <v>45</v>
      </c>
      <c r="D9" s="7">
        <v>160</v>
      </c>
      <c r="E9" s="7">
        <v>90</v>
      </c>
      <c r="F9" s="7">
        <v>250</v>
      </c>
      <c r="G9" s="7">
        <v>5</v>
      </c>
      <c r="H9" s="7">
        <v>45</v>
      </c>
      <c r="I9" s="8">
        <f t="shared" si="0"/>
        <v>1040</v>
      </c>
      <c r="J9" s="8">
        <f t="shared" si="1"/>
        <v>400</v>
      </c>
      <c r="K9" s="7" t="s">
        <v>28</v>
      </c>
      <c r="L9" s="7" t="s">
        <v>25</v>
      </c>
      <c r="M9" s="7" t="s">
        <v>26</v>
      </c>
      <c r="N9" s="9" t="s">
        <v>29</v>
      </c>
    </row>
    <row r="10" ht="38" customHeight="1" spans="1:14">
      <c r="A10" s="6">
        <v>46249</v>
      </c>
      <c r="B10" s="7">
        <v>420</v>
      </c>
      <c r="C10" s="7">
        <v>30</v>
      </c>
      <c r="D10" s="7">
        <v>120</v>
      </c>
      <c r="E10" s="7">
        <v>90</v>
      </c>
      <c r="F10" s="7">
        <v>300</v>
      </c>
      <c r="G10" s="7">
        <v>6</v>
      </c>
      <c r="H10" s="7">
        <v>60</v>
      </c>
      <c r="I10" s="8">
        <f t="shared" si="0"/>
        <v>1020</v>
      </c>
      <c r="J10" s="8">
        <f t="shared" si="1"/>
        <v>420</v>
      </c>
      <c r="K10" s="7" t="s">
        <v>24</v>
      </c>
      <c r="L10" s="7" t="s">
        <v>25</v>
      </c>
      <c r="M10" s="7" t="s">
        <v>30</v>
      </c>
      <c r="N10" s="9" t="s">
        <v>31</v>
      </c>
    </row>
    <row r="11" ht="38" customHeight="1" spans="1:14">
      <c r="A11" s="6">
        <v>46250</v>
      </c>
      <c r="B11" s="7">
        <v>410</v>
      </c>
      <c r="C11" s="7">
        <v>40</v>
      </c>
      <c r="D11" s="7">
        <v>90</v>
      </c>
      <c r="E11" s="7">
        <v>120</v>
      </c>
      <c r="F11" s="7">
        <v>150</v>
      </c>
      <c r="G11" s="7">
        <v>3</v>
      </c>
      <c r="H11" s="7">
        <v>45</v>
      </c>
      <c r="I11" s="8">
        <f t="shared" si="0"/>
        <v>855</v>
      </c>
      <c r="J11" s="8">
        <f t="shared" si="1"/>
        <v>585</v>
      </c>
      <c r="K11" s="7" t="s">
        <v>24</v>
      </c>
      <c r="L11" s="7" t="s">
        <v>25</v>
      </c>
      <c r="M11" s="7" t="s">
        <v>26</v>
      </c>
      <c r="N11" s="9" t="s">
        <v>32</v>
      </c>
    </row>
    <row r="12" ht="38" customHeight="1" spans="1:14">
      <c r="A12" s="6">
        <v>46251</v>
      </c>
      <c r="B12" s="7">
        <v>480</v>
      </c>
      <c r="C12" s="7">
        <v>30</v>
      </c>
      <c r="D12" s="7">
        <v>150</v>
      </c>
      <c r="E12" s="7">
        <v>60</v>
      </c>
      <c r="F12" s="7">
        <v>200</v>
      </c>
      <c r="G12" s="7">
        <v>4</v>
      </c>
      <c r="H12" s="7">
        <v>60</v>
      </c>
      <c r="I12" s="8">
        <f t="shared" si="0"/>
        <v>980</v>
      </c>
      <c r="J12" s="8">
        <f t="shared" si="1"/>
        <v>460</v>
      </c>
      <c r="K12" s="7" t="s">
        <v>28</v>
      </c>
      <c r="L12" s="7" t="s">
        <v>25</v>
      </c>
      <c r="M12" s="7" t="s">
        <v>26</v>
      </c>
      <c r="N12" s="9" t="s">
        <v>33</v>
      </c>
    </row>
    <row r="13" ht="38" customHeight="1" spans="1:14">
      <c r="A13" s="6">
        <v>46252</v>
      </c>
      <c r="B13" s="7">
        <v>420</v>
      </c>
      <c r="C13" s="7">
        <v>0</v>
      </c>
      <c r="D13" s="7">
        <v>180</v>
      </c>
      <c r="E13" s="7">
        <v>90</v>
      </c>
      <c r="F13" s="7">
        <v>0</v>
      </c>
      <c r="G13" s="7">
        <v>0</v>
      </c>
      <c r="H13" s="7">
        <v>90</v>
      </c>
      <c r="I13" s="8">
        <f t="shared" si="0"/>
        <v>780</v>
      </c>
      <c r="J13" s="8">
        <f t="shared" si="1"/>
        <v>660</v>
      </c>
      <c r="K13" s="7" t="s">
        <v>24</v>
      </c>
      <c r="L13" s="7" t="s">
        <v>34</v>
      </c>
      <c r="M13" s="7" t="s">
        <v>30</v>
      </c>
      <c r="N13" s="9" t="s">
        <v>35</v>
      </c>
    </row>
    <row r="14" ht="38" customHeight="1" spans="1:14">
      <c r="A14" s="6">
        <v>46253</v>
      </c>
      <c r="B14" s="7">
        <v>400</v>
      </c>
      <c r="C14" s="7">
        <v>30</v>
      </c>
      <c r="D14" s="7">
        <v>120</v>
      </c>
      <c r="E14" s="7">
        <v>90</v>
      </c>
      <c r="F14" s="7">
        <v>300</v>
      </c>
      <c r="G14" s="7">
        <v>6</v>
      </c>
      <c r="H14" s="7">
        <v>50</v>
      </c>
      <c r="I14" s="8">
        <f t="shared" si="0"/>
        <v>990</v>
      </c>
      <c r="J14" s="8">
        <f t="shared" si="1"/>
        <v>450</v>
      </c>
      <c r="K14" s="7" t="s">
        <v>36</v>
      </c>
      <c r="L14" s="7" t="s">
        <v>28</v>
      </c>
      <c r="M14" s="7" t="s">
        <v>36</v>
      </c>
      <c r="N14" s="9" t="s">
        <v>37</v>
      </c>
    </row>
    <row r="15" ht="38" customHeight="1" spans="1:14">
      <c r="A15" s="6">
        <v>46254</v>
      </c>
      <c r="B15" s="7">
        <v>420</v>
      </c>
      <c r="C15" s="7">
        <v>40</v>
      </c>
      <c r="D15" s="7">
        <v>100</v>
      </c>
      <c r="E15" s="7">
        <v>120</v>
      </c>
      <c r="F15" s="7">
        <v>250</v>
      </c>
      <c r="G15" s="7">
        <v>5</v>
      </c>
      <c r="H15" s="7">
        <v>60</v>
      </c>
      <c r="I15" s="8">
        <f t="shared" si="0"/>
        <v>990</v>
      </c>
      <c r="J15" s="8">
        <f t="shared" si="1"/>
        <v>450</v>
      </c>
      <c r="K15" s="7" t="s">
        <v>24</v>
      </c>
      <c r="L15" s="7" t="s">
        <v>25</v>
      </c>
      <c r="M15" s="7" t="s">
        <v>26</v>
      </c>
      <c r="N15" s="9" t="s">
        <v>38</v>
      </c>
    </row>
    <row r="16" ht="38" customHeight="1" spans="1:14">
      <c r="A16" s="6">
        <v>46255</v>
      </c>
      <c r="B16" s="7">
        <v>450</v>
      </c>
      <c r="C16" s="7">
        <v>30</v>
      </c>
      <c r="D16" s="7">
        <v>120</v>
      </c>
      <c r="E16" s="7">
        <v>90</v>
      </c>
      <c r="F16" s="7">
        <v>150</v>
      </c>
      <c r="G16" s="7">
        <v>3</v>
      </c>
      <c r="H16" s="7">
        <v>40</v>
      </c>
      <c r="I16" s="8">
        <f t="shared" si="0"/>
        <v>880</v>
      </c>
      <c r="J16" s="8">
        <f t="shared" si="1"/>
        <v>560</v>
      </c>
      <c r="K16" s="7" t="s">
        <v>24</v>
      </c>
      <c r="L16" s="7" t="s">
        <v>34</v>
      </c>
      <c r="M16" s="7" t="s">
        <v>30</v>
      </c>
      <c r="N16" s="9" t="s">
        <v>39</v>
      </c>
    </row>
    <row r="17" ht="38" customHeight="1" spans="1:14">
      <c r="A17" s="6">
        <v>46256</v>
      </c>
      <c r="B17" s="7">
        <v>420</v>
      </c>
      <c r="C17" s="7">
        <v>45</v>
      </c>
      <c r="D17" s="7">
        <v>90</v>
      </c>
      <c r="E17" s="7">
        <v>150</v>
      </c>
      <c r="F17" s="7">
        <v>250</v>
      </c>
      <c r="G17" s="7">
        <v>5</v>
      </c>
      <c r="H17" s="7">
        <v>60</v>
      </c>
      <c r="I17" s="8">
        <f t="shared" si="0"/>
        <v>1015</v>
      </c>
      <c r="J17" s="8">
        <f t="shared" si="1"/>
        <v>425</v>
      </c>
      <c r="K17" s="7" t="s">
        <v>24</v>
      </c>
      <c r="L17" s="7" t="s">
        <v>25</v>
      </c>
      <c r="M17" s="7" t="s">
        <v>26</v>
      </c>
      <c r="N17" s="9" t="s">
        <v>40</v>
      </c>
    </row>
    <row r="18" ht="38" customHeight="1" spans="1:14">
      <c r="A18" s="6">
        <v>46257</v>
      </c>
      <c r="B18" s="7">
        <v>430</v>
      </c>
      <c r="C18" s="7">
        <v>30</v>
      </c>
      <c r="D18" s="7">
        <v>150</v>
      </c>
      <c r="E18" s="7">
        <v>120</v>
      </c>
      <c r="F18" s="7">
        <v>180</v>
      </c>
      <c r="G18" s="7">
        <v>4</v>
      </c>
      <c r="H18" s="7">
        <v>45</v>
      </c>
      <c r="I18" s="8">
        <f t="shared" si="0"/>
        <v>955</v>
      </c>
      <c r="J18" s="8">
        <f t="shared" si="1"/>
        <v>485</v>
      </c>
      <c r="K18" s="7" t="s">
        <v>24</v>
      </c>
      <c r="L18" s="7" t="s">
        <v>25</v>
      </c>
      <c r="M18" s="7" t="s">
        <v>26</v>
      </c>
      <c r="N18" s="9" t="s">
        <v>41</v>
      </c>
    </row>
    <row r="19" ht="38" customHeight="1" spans="1:14">
      <c r="A19" s="6">
        <v>46258</v>
      </c>
      <c r="B19" s="7">
        <v>400</v>
      </c>
      <c r="C19" s="7">
        <v>35</v>
      </c>
      <c r="D19" s="7">
        <v>180</v>
      </c>
      <c r="E19" s="7">
        <v>90</v>
      </c>
      <c r="F19" s="7">
        <v>240</v>
      </c>
      <c r="G19" s="7">
        <v>5</v>
      </c>
      <c r="H19" s="7">
        <v>50</v>
      </c>
      <c r="I19" s="8">
        <f t="shared" si="0"/>
        <v>995</v>
      </c>
      <c r="J19" s="8">
        <f t="shared" si="1"/>
        <v>445</v>
      </c>
      <c r="K19" s="7" t="s">
        <v>24</v>
      </c>
      <c r="L19" s="7" t="s">
        <v>25</v>
      </c>
      <c r="M19" s="7" t="s">
        <v>30</v>
      </c>
      <c r="N19" s="9" t="s">
        <v>42</v>
      </c>
    </row>
    <row r="20" ht="38" customHeight="1" spans="1:14">
      <c r="A20" s="6">
        <v>46259</v>
      </c>
      <c r="B20" s="7">
        <v>450</v>
      </c>
      <c r="C20" s="7">
        <v>0</v>
      </c>
      <c r="D20" s="7">
        <v>210</v>
      </c>
      <c r="E20" s="7">
        <v>120</v>
      </c>
      <c r="F20" s="7">
        <v>0</v>
      </c>
      <c r="G20" s="7">
        <v>0</v>
      </c>
      <c r="H20" s="7">
        <v>90</v>
      </c>
      <c r="I20" s="8">
        <f t="shared" si="0"/>
        <v>870</v>
      </c>
      <c r="J20" s="8">
        <f t="shared" si="1"/>
        <v>570</v>
      </c>
      <c r="K20" s="7" t="s">
        <v>24</v>
      </c>
      <c r="L20" s="7" t="s">
        <v>34</v>
      </c>
      <c r="M20" s="7" t="s">
        <v>30</v>
      </c>
      <c r="N20" s="9" t="s">
        <v>43</v>
      </c>
    </row>
    <row r="21" ht="38" customHeight="1" spans="1:14">
      <c r="A21" s="6">
        <v>46260</v>
      </c>
      <c r="B21" s="7">
        <v>420</v>
      </c>
      <c r="C21" s="7">
        <v>40</v>
      </c>
      <c r="D21" s="7">
        <v>120</v>
      </c>
      <c r="E21" s="7">
        <v>90</v>
      </c>
      <c r="F21" s="7">
        <v>300</v>
      </c>
      <c r="G21" s="7">
        <v>6</v>
      </c>
      <c r="H21" s="7">
        <v>45</v>
      </c>
      <c r="I21" s="8">
        <f t="shared" si="0"/>
        <v>1015</v>
      </c>
      <c r="J21" s="8">
        <f t="shared" si="1"/>
        <v>425</v>
      </c>
      <c r="K21" s="7" t="s">
        <v>28</v>
      </c>
      <c r="L21" s="7" t="s">
        <v>25</v>
      </c>
      <c r="M21" s="7" t="s">
        <v>26</v>
      </c>
      <c r="N21" s="9" t="s">
        <v>44</v>
      </c>
    </row>
    <row r="22" ht="38" customHeight="1" spans="1:14">
      <c r="A22" s="6">
        <v>46261</v>
      </c>
      <c r="B22" s="7">
        <v>410</v>
      </c>
      <c r="C22" s="7">
        <v>30</v>
      </c>
      <c r="D22" s="7">
        <v>150</v>
      </c>
      <c r="E22" s="7">
        <v>120</v>
      </c>
      <c r="F22" s="7">
        <v>250</v>
      </c>
      <c r="G22" s="7">
        <v>5</v>
      </c>
      <c r="H22" s="7">
        <v>50</v>
      </c>
      <c r="I22" s="8">
        <f t="shared" si="0"/>
        <v>1010</v>
      </c>
      <c r="J22" s="8">
        <f t="shared" si="1"/>
        <v>430</v>
      </c>
      <c r="K22" s="7" t="s">
        <v>24</v>
      </c>
      <c r="L22" s="7" t="s">
        <v>25</v>
      </c>
      <c r="M22" s="7" t="s">
        <v>26</v>
      </c>
      <c r="N22" s="9" t="s">
        <v>45</v>
      </c>
    </row>
    <row r="23" ht="38" customHeight="1" spans="1:14">
      <c r="A23" s="6">
        <v>46262</v>
      </c>
      <c r="B23" s="7">
        <v>440</v>
      </c>
      <c r="C23" s="7">
        <v>45</v>
      </c>
      <c r="D23" s="7">
        <v>120</v>
      </c>
      <c r="E23" s="7">
        <v>90</v>
      </c>
      <c r="F23" s="7">
        <v>180</v>
      </c>
      <c r="G23" s="7">
        <v>4</v>
      </c>
      <c r="H23" s="7">
        <v>60</v>
      </c>
      <c r="I23" s="8">
        <f t="shared" si="0"/>
        <v>935</v>
      </c>
      <c r="J23" s="8">
        <f t="shared" si="1"/>
        <v>505</v>
      </c>
      <c r="K23" s="7" t="s">
        <v>24</v>
      </c>
      <c r="L23" s="7" t="s">
        <v>25</v>
      </c>
      <c r="M23" s="7" t="s">
        <v>30</v>
      </c>
      <c r="N23" s="9" t="s">
        <v>46</v>
      </c>
    </row>
    <row r="24" ht="38" customHeight="1" spans="1:14">
      <c r="A24" s="6">
        <v>46263</v>
      </c>
      <c r="B24" s="7">
        <v>400</v>
      </c>
      <c r="C24" s="7">
        <v>30</v>
      </c>
      <c r="D24" s="7">
        <v>180</v>
      </c>
      <c r="E24" s="7">
        <v>120</v>
      </c>
      <c r="F24" s="7">
        <v>300</v>
      </c>
      <c r="G24" s="7">
        <v>6</v>
      </c>
      <c r="H24" s="7">
        <v>45</v>
      </c>
      <c r="I24" s="8">
        <f t="shared" si="0"/>
        <v>1075</v>
      </c>
      <c r="J24" s="8">
        <f t="shared" si="1"/>
        <v>365</v>
      </c>
      <c r="K24" s="7" t="s">
        <v>24</v>
      </c>
      <c r="L24" s="7" t="s">
        <v>25</v>
      </c>
      <c r="M24" s="7" t="s">
        <v>26</v>
      </c>
      <c r="N24" s="9" t="s">
        <v>47</v>
      </c>
    </row>
    <row r="25" ht="38" customHeight="1" spans="1:14">
      <c r="A25" s="6">
        <v>46264</v>
      </c>
      <c r="B25" s="7">
        <v>430</v>
      </c>
      <c r="C25" s="7">
        <v>35</v>
      </c>
      <c r="D25" s="7">
        <v>150</v>
      </c>
      <c r="E25" s="7">
        <v>90</v>
      </c>
      <c r="F25" s="7">
        <v>240</v>
      </c>
      <c r="G25" s="7">
        <v>5</v>
      </c>
      <c r="H25" s="7">
        <v>55</v>
      </c>
      <c r="I25" s="8">
        <f t="shared" si="0"/>
        <v>1000</v>
      </c>
      <c r="J25" s="8">
        <f t="shared" si="1"/>
        <v>440</v>
      </c>
      <c r="K25" s="7" t="s">
        <v>24</v>
      </c>
      <c r="L25" s="7" t="s">
        <v>34</v>
      </c>
      <c r="M25" s="7" t="s">
        <v>30</v>
      </c>
      <c r="N25" s="9" t="s">
        <v>48</v>
      </c>
    </row>
    <row r="26" ht="38" customHeight="1" spans="1:14">
      <c r="A26" s="6">
        <v>46265</v>
      </c>
      <c r="B26" s="7">
        <v>420</v>
      </c>
      <c r="C26" s="7">
        <v>0</v>
      </c>
      <c r="D26" s="7">
        <v>210</v>
      </c>
      <c r="E26" s="7">
        <v>150</v>
      </c>
      <c r="F26" s="7">
        <v>0</v>
      </c>
      <c r="G26" s="7">
        <v>0</v>
      </c>
      <c r="H26" s="7">
        <v>90</v>
      </c>
      <c r="I26" s="8">
        <f t="shared" si="0"/>
        <v>870</v>
      </c>
      <c r="J26" s="8">
        <f t="shared" si="1"/>
        <v>570</v>
      </c>
      <c r="K26" s="7" t="s">
        <v>24</v>
      </c>
      <c r="L26" s="7" t="s">
        <v>34</v>
      </c>
      <c r="M26" s="7" t="s">
        <v>30</v>
      </c>
      <c r="N26" s="9" t="s">
        <v>49</v>
      </c>
    </row>
    <row r="27" ht="38" customHeight="1" spans="1:14">
      <c r="A27" s="6">
        <v>46266</v>
      </c>
      <c r="B27" s="7">
        <v>450</v>
      </c>
      <c r="C27" s="7">
        <v>40</v>
      </c>
      <c r="D27" s="7">
        <v>120</v>
      </c>
      <c r="E27" s="7">
        <v>90</v>
      </c>
      <c r="F27" s="7">
        <v>250</v>
      </c>
      <c r="G27" s="7">
        <v>5</v>
      </c>
      <c r="H27" s="7">
        <v>60</v>
      </c>
      <c r="I27" s="8">
        <f t="shared" si="0"/>
        <v>1010</v>
      </c>
      <c r="J27" s="8">
        <f t="shared" si="1"/>
        <v>430</v>
      </c>
      <c r="K27" s="7" t="s">
        <v>28</v>
      </c>
      <c r="L27" s="7" t="s">
        <v>25</v>
      </c>
      <c r="M27" s="7" t="s">
        <v>26</v>
      </c>
      <c r="N27" s="9" t="s">
        <v>50</v>
      </c>
    </row>
    <row r="28" ht="38" customHeight="1" spans="1:14">
      <c r="A28" s="6">
        <v>46267</v>
      </c>
      <c r="B28" s="7">
        <v>410</v>
      </c>
      <c r="C28" s="7">
        <v>30</v>
      </c>
      <c r="D28" s="7">
        <v>150</v>
      </c>
      <c r="E28" s="7">
        <v>120</v>
      </c>
      <c r="F28" s="7">
        <v>300</v>
      </c>
      <c r="G28" s="7">
        <v>6</v>
      </c>
      <c r="H28" s="7">
        <v>45</v>
      </c>
      <c r="I28" s="8">
        <f t="shared" si="0"/>
        <v>1055</v>
      </c>
      <c r="J28" s="8">
        <f t="shared" si="1"/>
        <v>385</v>
      </c>
      <c r="K28" s="7" t="s">
        <v>24</v>
      </c>
      <c r="L28" s="7" t="s">
        <v>25</v>
      </c>
      <c r="M28" s="7" t="s">
        <v>26</v>
      </c>
      <c r="N28" s="9" t="s">
        <v>51</v>
      </c>
    </row>
    <row r="29" ht="38" customHeight="1" spans="1:14">
      <c r="A29" s="6">
        <v>46268</v>
      </c>
      <c r="B29" s="7">
        <v>420</v>
      </c>
      <c r="C29" s="7">
        <v>45</v>
      </c>
      <c r="D29" s="7">
        <v>120</v>
      </c>
      <c r="E29" s="7">
        <v>90</v>
      </c>
      <c r="F29" s="7">
        <v>200</v>
      </c>
      <c r="G29" s="7">
        <v>4</v>
      </c>
      <c r="H29" s="7">
        <v>60</v>
      </c>
      <c r="I29" s="8">
        <f t="shared" si="0"/>
        <v>935</v>
      </c>
      <c r="J29" s="8">
        <f t="shared" si="1"/>
        <v>505</v>
      </c>
      <c r="K29" s="7" t="s">
        <v>24</v>
      </c>
      <c r="L29" s="7" t="s">
        <v>25</v>
      </c>
      <c r="M29" s="7" t="s">
        <v>30</v>
      </c>
      <c r="N29" s="9" t="s">
        <v>52</v>
      </c>
    </row>
    <row r="30" ht="38" customHeight="1" spans="1:14">
      <c r="A30" s="6">
        <v>46269</v>
      </c>
      <c r="B30" s="7">
        <v>400</v>
      </c>
      <c r="C30" s="7">
        <v>30</v>
      </c>
      <c r="D30" s="7">
        <v>180</v>
      </c>
      <c r="E30" s="7">
        <v>120</v>
      </c>
      <c r="F30" s="7">
        <v>250</v>
      </c>
      <c r="G30" s="7">
        <v>5</v>
      </c>
      <c r="H30" s="7">
        <v>50</v>
      </c>
      <c r="I30" s="8">
        <f t="shared" si="0"/>
        <v>1030</v>
      </c>
      <c r="J30" s="8">
        <f t="shared" si="1"/>
        <v>410</v>
      </c>
      <c r="K30" s="7" t="s">
        <v>24</v>
      </c>
      <c r="L30" s="7" t="s">
        <v>25</v>
      </c>
      <c r="M30" s="7" t="s">
        <v>26</v>
      </c>
      <c r="N30" s="9" t="s">
        <v>53</v>
      </c>
    </row>
    <row r="31" ht="38" customHeight="1" spans="1:14">
      <c r="A31" s="6">
        <v>46270</v>
      </c>
      <c r="B31" s="7">
        <v>460</v>
      </c>
      <c r="C31" s="7">
        <v>0</v>
      </c>
      <c r="D31" s="7">
        <v>180</v>
      </c>
      <c r="E31" s="7">
        <v>120</v>
      </c>
      <c r="F31" s="7">
        <v>0</v>
      </c>
      <c r="G31" s="7">
        <v>0</v>
      </c>
      <c r="H31" s="7">
        <v>90</v>
      </c>
      <c r="I31" s="8">
        <f t="shared" si="0"/>
        <v>850</v>
      </c>
      <c r="J31" s="8">
        <f t="shared" si="1"/>
        <v>590</v>
      </c>
      <c r="K31" s="7" t="s">
        <v>24</v>
      </c>
      <c r="L31" s="7" t="s">
        <v>34</v>
      </c>
      <c r="M31" s="7" t="s">
        <v>30</v>
      </c>
      <c r="N31" s="9" t="s">
        <v>54</v>
      </c>
    </row>
    <row r="32" ht="38" customHeight="1" spans="1:14">
      <c r="A32" s="6">
        <v>46271</v>
      </c>
      <c r="B32" s="7">
        <v>420</v>
      </c>
      <c r="C32" s="7">
        <v>40</v>
      </c>
      <c r="D32" s="7">
        <v>150</v>
      </c>
      <c r="E32" s="7">
        <v>90</v>
      </c>
      <c r="F32" s="7">
        <v>300</v>
      </c>
      <c r="G32" s="7">
        <v>6</v>
      </c>
      <c r="H32" s="7">
        <v>45</v>
      </c>
      <c r="I32" s="8">
        <f t="shared" si="0"/>
        <v>1045</v>
      </c>
      <c r="J32" s="8">
        <f t="shared" si="1"/>
        <v>395</v>
      </c>
      <c r="K32" s="7" t="s">
        <v>28</v>
      </c>
      <c r="L32" s="7" t="s">
        <v>25</v>
      </c>
      <c r="M32" s="7" t="s">
        <v>26</v>
      </c>
      <c r="N32" s="9" t="s">
        <v>55</v>
      </c>
    </row>
    <row r="33" ht="38" customHeight="1" spans="1:14">
      <c r="A33" s="6">
        <v>46272</v>
      </c>
      <c r="B33" s="7">
        <v>430</v>
      </c>
      <c r="C33" s="7">
        <v>30</v>
      </c>
      <c r="D33" s="7">
        <v>120</v>
      </c>
      <c r="E33" s="7">
        <v>120</v>
      </c>
      <c r="F33" s="7">
        <v>180</v>
      </c>
      <c r="G33" s="7">
        <v>4</v>
      </c>
      <c r="H33" s="7">
        <v>55</v>
      </c>
      <c r="I33" s="8">
        <f t="shared" si="0"/>
        <v>935</v>
      </c>
      <c r="J33" s="8">
        <f t="shared" si="1"/>
        <v>505</v>
      </c>
      <c r="K33" s="7" t="s">
        <v>24</v>
      </c>
      <c r="L33" s="7" t="s">
        <v>25</v>
      </c>
      <c r="M33" s="7" t="s">
        <v>30</v>
      </c>
      <c r="N33" s="9" t="s">
        <v>56</v>
      </c>
    </row>
    <row r="34" ht="38" customHeight="1" spans="1:14">
      <c r="A34" s="6">
        <v>46273</v>
      </c>
      <c r="B34" s="7">
        <v>410</v>
      </c>
      <c r="C34" s="7">
        <v>35</v>
      </c>
      <c r="D34" s="7">
        <v>150</v>
      </c>
      <c r="E34" s="7">
        <v>90</v>
      </c>
      <c r="F34" s="7">
        <v>250</v>
      </c>
      <c r="G34" s="7">
        <v>5</v>
      </c>
      <c r="H34" s="7">
        <v>50</v>
      </c>
      <c r="I34" s="8">
        <f t="shared" si="0"/>
        <v>985</v>
      </c>
      <c r="J34" s="8">
        <f t="shared" si="1"/>
        <v>455</v>
      </c>
      <c r="K34" s="7" t="s">
        <v>24</v>
      </c>
      <c r="L34" s="7" t="s">
        <v>25</v>
      </c>
      <c r="M34" s="7" t="s">
        <v>26</v>
      </c>
      <c r="N34" s="9" t="s">
        <v>57</v>
      </c>
    </row>
    <row r="35" ht="38" customHeight="1" spans="1:14">
      <c r="A35" s="6">
        <v>46274</v>
      </c>
      <c r="B35" s="7">
        <v>450</v>
      </c>
      <c r="C35" s="7">
        <v>45</v>
      </c>
      <c r="D35" s="7">
        <v>120</v>
      </c>
      <c r="E35" s="7">
        <v>120</v>
      </c>
      <c r="F35" s="7">
        <v>240</v>
      </c>
      <c r="G35" s="7">
        <v>5</v>
      </c>
      <c r="H35" s="7">
        <v>60</v>
      </c>
      <c r="I35" s="8">
        <f t="shared" si="0"/>
        <v>1035</v>
      </c>
      <c r="J35" s="8">
        <f t="shared" si="1"/>
        <v>405</v>
      </c>
      <c r="K35" s="7" t="s">
        <v>24</v>
      </c>
      <c r="L35" s="7" t="s">
        <v>34</v>
      </c>
      <c r="M35" s="7" t="s">
        <v>30</v>
      </c>
      <c r="N35" s="9" t="s">
        <v>58</v>
      </c>
    </row>
    <row r="36" ht="38" customHeight="1" spans="1:14">
      <c r="A36" s="6">
        <v>46275</v>
      </c>
      <c r="B36" s="7">
        <v>420</v>
      </c>
      <c r="C36" s="7">
        <v>0</v>
      </c>
      <c r="D36" s="7">
        <v>210</v>
      </c>
      <c r="E36" s="7">
        <v>150</v>
      </c>
      <c r="F36" s="7">
        <v>0</v>
      </c>
      <c r="G36" s="7">
        <v>0</v>
      </c>
      <c r="H36" s="7">
        <v>90</v>
      </c>
      <c r="I36" s="8">
        <f t="shared" si="0"/>
        <v>870</v>
      </c>
      <c r="J36" s="8">
        <f t="shared" si="1"/>
        <v>570</v>
      </c>
      <c r="K36" s="7" t="s">
        <v>24</v>
      </c>
      <c r="L36" s="7" t="s">
        <v>34</v>
      </c>
      <c r="M36" s="7" t="s">
        <v>30</v>
      </c>
      <c r="N36" s="9" t="s">
        <v>59</v>
      </c>
    </row>
    <row r="37" ht="38" customHeight="1" spans="1:14">
      <c r="A37" s="6">
        <v>46276</v>
      </c>
      <c r="B37" s="7">
        <v>400</v>
      </c>
      <c r="C37" s="7">
        <v>30</v>
      </c>
      <c r="D37" s="7">
        <v>120</v>
      </c>
      <c r="E37" s="7">
        <v>90</v>
      </c>
      <c r="F37" s="7">
        <v>300</v>
      </c>
      <c r="G37" s="7">
        <v>6</v>
      </c>
      <c r="H37" s="7">
        <v>50</v>
      </c>
      <c r="I37" s="8">
        <f t="shared" si="0"/>
        <v>990</v>
      </c>
      <c r="J37" s="8">
        <f t="shared" si="1"/>
        <v>450</v>
      </c>
      <c r="K37" s="7" t="s">
        <v>36</v>
      </c>
      <c r="L37" s="7" t="s">
        <v>28</v>
      </c>
      <c r="M37" s="7" t="s">
        <v>36</v>
      </c>
      <c r="N37" s="9" t="s">
        <v>60</v>
      </c>
    </row>
    <row r="38" ht="38" customHeight="1" spans="1:14">
      <c r="A38" s="6">
        <v>46277</v>
      </c>
      <c r="B38" s="7">
        <v>420</v>
      </c>
      <c r="C38" s="7">
        <v>40</v>
      </c>
      <c r="D38" s="7">
        <v>180</v>
      </c>
      <c r="E38" s="7">
        <v>120</v>
      </c>
      <c r="F38" s="7">
        <v>250</v>
      </c>
      <c r="G38" s="7">
        <v>5</v>
      </c>
      <c r="H38" s="7">
        <v>60</v>
      </c>
      <c r="I38" s="8">
        <f t="shared" si="0"/>
        <v>1070</v>
      </c>
      <c r="J38" s="8">
        <f t="shared" si="1"/>
        <v>370</v>
      </c>
      <c r="K38" s="7" t="s">
        <v>24</v>
      </c>
      <c r="L38" s="7" t="s">
        <v>25</v>
      </c>
      <c r="M38" s="7" t="s">
        <v>26</v>
      </c>
      <c r="N38" s="9" t="s">
        <v>61</v>
      </c>
    </row>
    <row r="39" ht="38" customHeight="1" spans="1:14">
      <c r="A39" s="6">
        <v>46278</v>
      </c>
      <c r="B39" s="7">
        <v>430</v>
      </c>
      <c r="C39" s="7">
        <v>30</v>
      </c>
      <c r="D39" s="7">
        <v>150</v>
      </c>
      <c r="E39" s="7">
        <v>90</v>
      </c>
      <c r="F39" s="7">
        <v>200</v>
      </c>
      <c r="G39" s="7">
        <v>4</v>
      </c>
      <c r="H39" s="7">
        <v>45</v>
      </c>
      <c r="I39" s="8">
        <f t="shared" si="0"/>
        <v>945</v>
      </c>
      <c r="J39" s="8">
        <f t="shared" si="1"/>
        <v>495</v>
      </c>
      <c r="K39" s="7" t="s">
        <v>24</v>
      </c>
      <c r="L39" s="7" t="s">
        <v>25</v>
      </c>
      <c r="M39" s="7" t="s">
        <v>26</v>
      </c>
      <c r="N39" s="9" t="s">
        <v>62</v>
      </c>
    </row>
    <row r="40" ht="38" customHeight="1" spans="1:14">
      <c r="A40" s="6">
        <v>46279</v>
      </c>
      <c r="B40" s="7">
        <v>410</v>
      </c>
      <c r="C40" s="7">
        <v>45</v>
      </c>
      <c r="D40" s="7">
        <v>120</v>
      </c>
      <c r="E40" s="7">
        <v>120</v>
      </c>
      <c r="F40" s="7">
        <v>300</v>
      </c>
      <c r="G40" s="7">
        <v>6</v>
      </c>
      <c r="H40" s="7">
        <v>50</v>
      </c>
      <c r="I40" s="8">
        <f t="shared" si="0"/>
        <v>1045</v>
      </c>
      <c r="J40" s="8">
        <f t="shared" si="1"/>
        <v>395</v>
      </c>
      <c r="K40" s="7" t="s">
        <v>24</v>
      </c>
      <c r="L40" s="7" t="s">
        <v>25</v>
      </c>
      <c r="M40" s="7" t="s">
        <v>30</v>
      </c>
      <c r="N40" s="9" t="s">
        <v>63</v>
      </c>
    </row>
    <row r="41" ht="38" customHeight="1" spans="1:14">
      <c r="A41" s="6">
        <v>46280</v>
      </c>
      <c r="B41" s="7">
        <v>450</v>
      </c>
      <c r="C41" s="7">
        <v>30</v>
      </c>
      <c r="D41" s="7">
        <v>180</v>
      </c>
      <c r="E41" s="7">
        <v>90</v>
      </c>
      <c r="F41" s="7">
        <v>240</v>
      </c>
      <c r="G41" s="7">
        <v>5</v>
      </c>
      <c r="H41" s="7">
        <v>60</v>
      </c>
      <c r="I41" s="8">
        <f t="shared" si="0"/>
        <v>1050</v>
      </c>
      <c r="J41" s="8">
        <f t="shared" si="1"/>
        <v>390</v>
      </c>
      <c r="K41" s="7" t="s">
        <v>24</v>
      </c>
      <c r="L41" s="7" t="s">
        <v>34</v>
      </c>
      <c r="M41" s="7" t="s">
        <v>30</v>
      </c>
      <c r="N41" s="9" t="s">
        <v>64</v>
      </c>
    </row>
    <row r="42" ht="38" customHeight="1" spans="1:14">
      <c r="A42" s="6">
        <v>46281</v>
      </c>
      <c r="B42" s="7">
        <v>420</v>
      </c>
      <c r="C42" s="7">
        <v>0</v>
      </c>
      <c r="D42" s="7">
        <v>210</v>
      </c>
      <c r="E42" s="7">
        <v>120</v>
      </c>
      <c r="F42" s="7">
        <v>0</v>
      </c>
      <c r="G42" s="7">
        <v>0</v>
      </c>
      <c r="H42" s="7">
        <v>90</v>
      </c>
      <c r="I42" s="8">
        <f t="shared" si="0"/>
        <v>840</v>
      </c>
      <c r="J42" s="8">
        <f t="shared" si="1"/>
        <v>600</v>
      </c>
      <c r="K42" s="7" t="s">
        <v>24</v>
      </c>
      <c r="L42" s="7" t="s">
        <v>34</v>
      </c>
      <c r="M42" s="7" t="s">
        <v>30</v>
      </c>
      <c r="N42" s="9" t="s">
        <v>65</v>
      </c>
    </row>
    <row r="43" ht="38" customHeight="1" spans="1:14">
      <c r="A43" s="6">
        <v>46282</v>
      </c>
      <c r="B43" s="7">
        <v>400</v>
      </c>
      <c r="C43" s="7">
        <v>30</v>
      </c>
      <c r="D43" s="7">
        <v>150</v>
      </c>
      <c r="E43" s="7">
        <v>120</v>
      </c>
      <c r="F43" s="7">
        <v>300</v>
      </c>
      <c r="G43" s="7">
        <v>6</v>
      </c>
      <c r="H43" s="7">
        <v>45</v>
      </c>
      <c r="I43" s="8">
        <f t="shared" si="0"/>
        <v>1045</v>
      </c>
      <c r="J43" s="8">
        <f t="shared" si="1"/>
        <v>395</v>
      </c>
      <c r="K43" s="7" t="s">
        <v>28</v>
      </c>
      <c r="L43" s="7" t="s">
        <v>25</v>
      </c>
      <c r="M43" s="7" t="s">
        <v>26</v>
      </c>
      <c r="N43" s="9" t="s">
        <v>66</v>
      </c>
    </row>
    <row r="44" ht="38" customHeight="1" spans="1:14">
      <c r="A44" s="6">
        <v>46283</v>
      </c>
      <c r="B44" s="7">
        <v>430</v>
      </c>
      <c r="C44" s="7">
        <v>40</v>
      </c>
      <c r="D44" s="7">
        <v>120</v>
      </c>
      <c r="E44" s="7">
        <v>90</v>
      </c>
      <c r="F44" s="7">
        <v>250</v>
      </c>
      <c r="G44" s="7">
        <v>5</v>
      </c>
      <c r="H44" s="7">
        <v>60</v>
      </c>
      <c r="I44" s="8">
        <f t="shared" si="0"/>
        <v>990</v>
      </c>
      <c r="J44" s="8">
        <f t="shared" si="1"/>
        <v>450</v>
      </c>
      <c r="K44" s="7" t="s">
        <v>24</v>
      </c>
      <c r="L44" s="7" t="s">
        <v>25</v>
      </c>
      <c r="M44" s="7" t="s">
        <v>26</v>
      </c>
      <c r="N44" s="9" t="s">
        <v>67</v>
      </c>
    </row>
    <row r="45" ht="38" customHeight="1" spans="1:14">
      <c r="A45" s="6">
        <v>46284</v>
      </c>
      <c r="B45" s="7">
        <v>420</v>
      </c>
      <c r="C45" s="7">
        <v>35</v>
      </c>
      <c r="D45" s="7">
        <v>180</v>
      </c>
      <c r="E45" s="7">
        <v>120</v>
      </c>
      <c r="F45" s="7">
        <v>180</v>
      </c>
      <c r="G45" s="7">
        <v>4</v>
      </c>
      <c r="H45" s="7">
        <v>50</v>
      </c>
      <c r="I45" s="8">
        <f t="shared" si="0"/>
        <v>985</v>
      </c>
      <c r="J45" s="8">
        <f t="shared" si="1"/>
        <v>455</v>
      </c>
      <c r="K45" s="7" t="s">
        <v>24</v>
      </c>
      <c r="L45" s="7" t="s">
        <v>25</v>
      </c>
      <c r="M45" s="7" t="s">
        <v>30</v>
      </c>
      <c r="N45" s="9" t="s">
        <v>68</v>
      </c>
    </row>
    <row r="46" ht="38" customHeight="1" spans="1:14">
      <c r="A46" s="6">
        <v>46285</v>
      </c>
      <c r="B46" s="7">
        <v>450</v>
      </c>
      <c r="C46" s="7">
        <v>30</v>
      </c>
      <c r="D46" s="7">
        <v>150</v>
      </c>
      <c r="E46" s="7">
        <v>90</v>
      </c>
      <c r="F46" s="7">
        <v>300</v>
      </c>
      <c r="G46" s="7">
        <v>6</v>
      </c>
      <c r="H46" s="7">
        <v>45</v>
      </c>
      <c r="I46" s="8">
        <f t="shared" si="0"/>
        <v>1065</v>
      </c>
      <c r="J46" s="8">
        <f t="shared" si="1"/>
        <v>375</v>
      </c>
      <c r="K46" s="7" t="s">
        <v>24</v>
      </c>
      <c r="L46" s="7" t="s">
        <v>34</v>
      </c>
      <c r="M46" s="7" t="s">
        <v>30</v>
      </c>
      <c r="N46" s="9" t="s">
        <v>69</v>
      </c>
    </row>
    <row r="47" ht="38" customHeight="1" spans="1:14">
      <c r="A47" s="6">
        <v>46286</v>
      </c>
      <c r="B47" s="7">
        <v>410</v>
      </c>
      <c r="C47" s="7">
        <v>40</v>
      </c>
      <c r="D47" s="7">
        <v>120</v>
      </c>
      <c r="E47" s="7">
        <v>120</v>
      </c>
      <c r="F47" s="7">
        <v>250</v>
      </c>
      <c r="G47" s="7">
        <v>5</v>
      </c>
      <c r="H47" s="7">
        <v>55</v>
      </c>
      <c r="I47" s="8">
        <f t="shared" si="0"/>
        <v>995</v>
      </c>
      <c r="J47" s="8">
        <f t="shared" si="1"/>
        <v>445</v>
      </c>
      <c r="K47" s="7" t="s">
        <v>28</v>
      </c>
      <c r="L47" s="7" t="s">
        <v>25</v>
      </c>
      <c r="M47" s="7" t="s">
        <v>26</v>
      </c>
      <c r="N47" s="9" t="s">
        <v>70</v>
      </c>
    </row>
    <row r="48" ht="38" customHeight="1" spans="1:14">
      <c r="A48" s="6">
        <v>46287</v>
      </c>
      <c r="B48" s="7">
        <v>420</v>
      </c>
      <c r="C48" s="7">
        <v>45</v>
      </c>
      <c r="D48" s="7">
        <v>180</v>
      </c>
      <c r="E48" s="7">
        <v>90</v>
      </c>
      <c r="F48" s="7">
        <v>200</v>
      </c>
      <c r="G48" s="7">
        <v>4</v>
      </c>
      <c r="H48" s="7">
        <v>60</v>
      </c>
      <c r="I48" s="8">
        <f t="shared" si="0"/>
        <v>995</v>
      </c>
      <c r="J48" s="8">
        <f t="shared" si="1"/>
        <v>445</v>
      </c>
      <c r="K48" s="7" t="s">
        <v>24</v>
      </c>
      <c r="L48" s="7" t="s">
        <v>25</v>
      </c>
      <c r="M48" s="7" t="s">
        <v>30</v>
      </c>
      <c r="N48" s="9" t="s">
        <v>71</v>
      </c>
    </row>
    <row r="49" ht="38" customHeight="1" spans="1:14">
      <c r="A49" s="6">
        <v>46288</v>
      </c>
      <c r="B49" s="7">
        <v>430</v>
      </c>
      <c r="C49" s="7">
        <v>0</v>
      </c>
      <c r="D49" s="7">
        <v>210</v>
      </c>
      <c r="E49" s="7">
        <v>150</v>
      </c>
      <c r="F49" s="7">
        <v>0</v>
      </c>
      <c r="G49" s="7">
        <v>0</v>
      </c>
      <c r="H49" s="7">
        <v>90</v>
      </c>
      <c r="I49" s="8">
        <f t="shared" si="0"/>
        <v>880</v>
      </c>
      <c r="J49" s="8">
        <f t="shared" si="1"/>
        <v>560</v>
      </c>
      <c r="K49" s="7" t="s">
        <v>24</v>
      </c>
      <c r="L49" s="7" t="s">
        <v>34</v>
      </c>
      <c r="M49" s="7" t="s">
        <v>30</v>
      </c>
      <c r="N49" s="9" t="s">
        <v>72</v>
      </c>
    </row>
    <row r="50" ht="38" customHeight="1" spans="1:14">
      <c r="A50" s="6">
        <v>46289</v>
      </c>
      <c r="B50" s="7">
        <v>400</v>
      </c>
      <c r="C50" s="7">
        <v>30</v>
      </c>
      <c r="D50" s="7">
        <v>150</v>
      </c>
      <c r="E50" s="7">
        <v>120</v>
      </c>
      <c r="F50" s="7">
        <v>300</v>
      </c>
      <c r="G50" s="7">
        <v>6</v>
      </c>
      <c r="H50" s="7">
        <v>50</v>
      </c>
      <c r="I50" s="8">
        <f t="shared" si="0"/>
        <v>1050</v>
      </c>
      <c r="J50" s="8">
        <f t="shared" si="1"/>
        <v>390</v>
      </c>
      <c r="K50" s="7" t="s">
        <v>24</v>
      </c>
      <c r="L50" s="7" t="s">
        <v>25</v>
      </c>
      <c r="M50" s="7" t="s">
        <v>26</v>
      </c>
      <c r="N50" s="9" t="s">
        <v>73</v>
      </c>
    </row>
    <row r="51" ht="38" customHeight="1" spans="1:14">
      <c r="A51" s="6">
        <v>46290</v>
      </c>
      <c r="B51" s="7">
        <v>420</v>
      </c>
      <c r="C51" s="7">
        <v>40</v>
      </c>
      <c r="D51" s="7">
        <v>180</v>
      </c>
      <c r="E51" s="7">
        <v>90</v>
      </c>
      <c r="F51" s="7">
        <v>240</v>
      </c>
      <c r="G51" s="7">
        <v>5</v>
      </c>
      <c r="H51" s="7">
        <v>60</v>
      </c>
      <c r="I51" s="8">
        <f t="shared" si="0"/>
        <v>1030</v>
      </c>
      <c r="J51" s="8">
        <f t="shared" si="1"/>
        <v>410</v>
      </c>
      <c r="K51" s="7" t="s">
        <v>24</v>
      </c>
      <c r="L51" s="7" t="s">
        <v>34</v>
      </c>
      <c r="M51" s="7" t="s">
        <v>30</v>
      </c>
      <c r="N51" s="9" t="s">
        <v>74</v>
      </c>
    </row>
    <row r="52" ht="38" customHeight="1" spans="1:14">
      <c r="A52" s="6">
        <v>46291</v>
      </c>
      <c r="B52" s="7">
        <v>450</v>
      </c>
      <c r="C52" s="7">
        <v>30</v>
      </c>
      <c r="D52" s="7">
        <v>150</v>
      </c>
      <c r="E52" s="7">
        <v>120</v>
      </c>
      <c r="F52" s="7">
        <v>250</v>
      </c>
      <c r="G52" s="7">
        <v>5</v>
      </c>
      <c r="H52" s="7">
        <v>45</v>
      </c>
      <c r="I52" s="8">
        <f t="shared" si="0"/>
        <v>1045</v>
      </c>
      <c r="J52" s="8">
        <f t="shared" si="1"/>
        <v>395</v>
      </c>
      <c r="K52" s="7" t="s">
        <v>24</v>
      </c>
      <c r="L52" s="7" t="s">
        <v>25</v>
      </c>
      <c r="M52" s="7" t="s">
        <v>26</v>
      </c>
      <c r="N52" s="9" t="s">
        <v>75</v>
      </c>
    </row>
  </sheetData>
  <autoFilter xmlns:etc="http://www.wps.cn/officeDocument/2017/etCustomData" ref="A7:N52" etc:filterBottomFollowUsedRange="0">
    <extLst/>
  </autoFilter>
  <pageMargins left="0.25" right="0.25" top="0.5" bottom="0.5" header="0.5" footer="0.5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rakes</cp:lastModifiedBy>
  <dcterms:created xsi:type="dcterms:W3CDTF">2026-09-26T15:39:00Z</dcterms:created>
  <dcterms:modified xsi:type="dcterms:W3CDTF">2026-09-26T15:47:13Z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3769B11895E94CF8B81FD238A26374E5_12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